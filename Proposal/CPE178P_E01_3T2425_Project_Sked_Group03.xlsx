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Van\Downloads\"/>
    </mc:Choice>
  </mc:AlternateContent>
  <xr:revisionPtr revIDLastSave="0" documentId="13_ncr:1_{36C98B73-B47D-4BE4-95C7-93583FF70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 &amp; Burndown" sheetId="1" r:id="rId1"/>
    <sheet name="Burndown" sheetId="2" r:id="rId2"/>
    <sheet name="Release Backlog" sheetId="3" r:id="rId3"/>
    <sheet name="Project Notes" sheetId="4" r:id="rId4"/>
    <sheet name="Submission M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L24" i="1" s="1"/>
  <c r="F24" i="1"/>
  <c r="K23" i="1"/>
  <c r="L23" i="1" s="1"/>
  <c r="F23" i="1"/>
  <c r="K22" i="1"/>
  <c r="L22" i="1" s="1"/>
  <c r="F22" i="1"/>
  <c r="K21" i="1"/>
  <c r="L21" i="1" s="1"/>
  <c r="F21" i="1"/>
  <c r="K20" i="1"/>
  <c r="L20" i="1" s="1"/>
  <c r="F20" i="1"/>
  <c r="K19" i="1"/>
  <c r="L19" i="1" s="1"/>
  <c r="F19" i="1"/>
  <c r="K18" i="1"/>
  <c r="L18" i="1" s="1"/>
  <c r="F18" i="1"/>
  <c r="K17" i="1"/>
  <c r="L17" i="1" s="1"/>
  <c r="F17" i="1"/>
  <c r="K16" i="1"/>
  <c r="L16" i="1" s="1"/>
  <c r="F16" i="1"/>
  <c r="K15" i="1"/>
  <c r="L15" i="1" s="1"/>
  <c r="F15" i="1"/>
  <c r="K14" i="1"/>
  <c r="L14" i="1" s="1"/>
  <c r="F14" i="1"/>
  <c r="K13" i="1"/>
  <c r="L13" i="1" s="1"/>
  <c r="F13" i="1"/>
  <c r="K12" i="1"/>
  <c r="L12" i="1" s="1"/>
  <c r="F12" i="1"/>
  <c r="K11" i="1"/>
  <c r="L11" i="1" s="1"/>
  <c r="F11" i="1"/>
  <c r="K10" i="1"/>
  <c r="L10" i="1" s="1"/>
  <c r="F10" i="1"/>
  <c r="K9" i="1"/>
  <c r="L9" i="1" s="1"/>
  <c r="F9" i="1"/>
  <c r="K8" i="1"/>
  <c r="L8" i="1" s="1"/>
  <c r="F8" i="1"/>
  <c r="K7" i="1"/>
  <c r="L7" i="1" s="1"/>
  <c r="F7" i="1"/>
  <c r="K6" i="1"/>
  <c r="L6" i="1" s="1"/>
  <c r="F6" i="1"/>
</calcChain>
</file>

<file path=xl/sharedStrings.xml><?xml version="1.0" encoding="utf-8"?>
<sst xmlns="http://schemas.openxmlformats.org/spreadsheetml/2006/main" count="304" uniqueCount="150">
  <si>
    <t>CPE178P – Smart Waste Image Classification and Monitoring System</t>
  </si>
  <si>
    <t>Project Schedule / Gantt Chart – Lester Van E. Rivera (Solo Project)</t>
  </si>
  <si>
    <t>Schedule aligned with the currently visible Blackboard deadlines: Project Proposal – Oct. 4, Sprint 1 – Oct. 7, Sprint 2 – Oct. 11, Final Project – Oct. 11, 2026.</t>
  </si>
  <si>
    <t>WBS</t>
  </si>
  <si>
    <t>Task Title</t>
  </si>
  <si>
    <t>Task Owner</t>
  </si>
  <si>
    <t>Estimate (hrs)</t>
  </si>
  <si>
    <t>Complete (hrs)</t>
  </si>
  <si>
    <t>Remaining (hrs)</t>
  </si>
  <si>
    <t>Sprint</t>
  </si>
  <si>
    <t>Start Date</t>
  </si>
  <si>
    <t>Due Date</t>
  </si>
  <si>
    <t>Duration (days)</t>
  </si>
  <si>
    <t>% Complete</t>
  </si>
  <si>
    <t>Status</t>
  </si>
  <si>
    <t>1.0</t>
  </si>
  <si>
    <t>Project Proposal and Project Setup</t>
  </si>
  <si>
    <t>Rivera, L.</t>
  </si>
  <si>
    <t>Sprint 1</t>
  </si>
  <si>
    <t>■</t>
  </si>
  <si>
    <t>1.1</t>
  </si>
  <si>
    <t>Finalize Project Proposal</t>
  </si>
  <si>
    <t>1.2</t>
  </si>
  <si>
    <t>Set Up Development Environment and Dependencies</t>
  </si>
  <si>
    <t>1.3</t>
  </si>
  <si>
    <t>Create GitHub Repository and Initial Commit</t>
  </si>
  <si>
    <t>1.4</t>
  </si>
  <si>
    <t>Prepare Sprint 1 Evidence and Documentation</t>
  </si>
  <si>
    <t>2.0</t>
  </si>
  <si>
    <t>Dataset Preparation and Baseline Deep Learning Model</t>
  </si>
  <si>
    <t>2.1</t>
  </si>
  <si>
    <t>Acquire and Inspect TrashNet Dataset</t>
  </si>
  <si>
    <t>2.2</t>
  </si>
  <si>
    <t>Clean, Preprocess, and Split Dataset</t>
  </si>
  <si>
    <t>2.3</t>
  </si>
  <si>
    <t>Implement Baseline CNN</t>
  </si>
  <si>
    <t>2.4</t>
  </si>
  <si>
    <t>Train and Evaluate Baseline Model</t>
  </si>
  <si>
    <t>2.5</t>
  </si>
  <si>
    <t>Record Sprint 1 Development Evidence</t>
  </si>
  <si>
    <t>3.0</t>
  </si>
  <si>
    <t>Project Sprint 2 and Final System Integration</t>
  </si>
  <si>
    <t>Sprint 2</t>
  </si>
  <si>
    <t>3.1</t>
  </si>
  <si>
    <t>Refine/Finalize Deep Learning Model</t>
  </si>
  <si>
    <t>3.2</t>
  </si>
  <si>
    <t>Integrate FastAPI Backend</t>
  </si>
  <si>
    <t>3.3</t>
  </si>
  <si>
    <t>Integrate Flet Graphical Interface</t>
  </si>
  <si>
    <t>3.4</t>
  </si>
  <si>
    <t>Integrate Image Input and Classification Workflow</t>
  </si>
  <si>
    <t>3.5</t>
  </si>
  <si>
    <t>ONNX Export/Runtime Verification</t>
  </si>
  <si>
    <t>3.6</t>
  </si>
  <si>
    <t>System Testing and Debugging</t>
  </si>
  <si>
    <t>3.7</t>
  </si>
  <si>
    <t>Final Documentation, README, and Demonstration Preparation</t>
  </si>
  <si>
    <t>Key Submission Milestones</t>
  </si>
  <si>
    <t>Project Proposal</t>
  </si>
  <si>
    <t>10/04/2026</t>
  </si>
  <si>
    <t>Proposal PDF / required schedule</t>
  </si>
  <si>
    <t>Project Sprint 1 – Individual Submission</t>
  </si>
  <si>
    <t>10/07/2026</t>
  </si>
  <si>
    <t>Individual Sprint 1 evidence and contribution</t>
  </si>
  <si>
    <t>Project Sprint 1 – Group Deliverables</t>
  </si>
  <si>
    <t>Group deliverables; solo project still follows required artifacts</t>
  </si>
  <si>
    <t>Project Sprint 2 – Individual Submission</t>
  </si>
  <si>
    <t>10/11/2026</t>
  </si>
  <si>
    <t>Sprint 2 individual submission</t>
  </si>
  <si>
    <t>Project Sprint 2 – Group Deliverables</t>
  </si>
  <si>
    <t>Sprint 2 group deliverables</t>
  </si>
  <si>
    <t>Final Project Deliverables</t>
  </si>
  <si>
    <t>Presentation video, documentation, source code + README</t>
  </si>
  <si>
    <t>Project Burndown</t>
  </si>
  <si>
    <t>Planned remaining work across the Oct. 4–11 project window.</t>
  </si>
  <si>
    <t>Date</t>
  </si>
  <si>
    <t>Planned Remaining Hours</t>
  </si>
  <si>
    <t>Actual Remaining Hours</t>
  </si>
  <si>
    <t>Milestone</t>
  </si>
  <si>
    <t>Proposal due</t>
  </si>
  <si>
    <t>Sprint 1 due</t>
  </si>
  <si>
    <t>Sprint 2 + Final Project due</t>
  </si>
  <si>
    <t>Release Backlog – Smart Waste Image Classification and Monitoring System</t>
  </si>
  <si>
    <t>Priority</t>
  </si>
  <si>
    <t>Feature</t>
  </si>
  <si>
    <t>Backlog Item</t>
  </si>
  <si>
    <t>Acceptance / Expected Result</t>
  </si>
  <si>
    <t>High</t>
  </si>
  <si>
    <t>Dataset</t>
  </si>
  <si>
    <t>Prepare TrashNet dataset</t>
  </si>
  <si>
    <t>Six classes inspected, cleaned/preprocessed, and split 70/15/15</t>
  </si>
  <si>
    <t>Planned</t>
  </si>
  <si>
    <t>AI Model</t>
  </si>
  <si>
    <t>Implement and train baseline CNN</t>
  </si>
  <si>
    <t>Baseline six-class model trains and produces evaluation outputs</t>
  </si>
  <si>
    <t>Sprint Evidence</t>
  </si>
  <si>
    <t>Prepare Sprint 1 code/video/documentation evidence</t>
  </si>
  <si>
    <t>Required individual and group Sprint 1 artifacts prepared</t>
  </si>
  <si>
    <t>Backend</t>
  </si>
  <si>
    <t>Integrate FastAPI</t>
  </si>
  <si>
    <t>API receives image and returns model prediction</t>
  </si>
  <si>
    <t>GUI</t>
  </si>
  <si>
    <t>Integrate Flet interface</t>
  </si>
  <si>
    <t>User can provide image and view classification result</t>
  </si>
  <si>
    <t>Model Integration</t>
  </si>
  <si>
    <t>Verify model/ONNX inference</t>
  </si>
  <si>
    <t>Inference works in the application environment</t>
  </si>
  <si>
    <t>Testing</t>
  </si>
  <si>
    <t>Perform final system testing</t>
  </si>
  <si>
    <t>Core workflow passes functional tests</t>
  </si>
  <si>
    <t>Final Deliverables</t>
  </si>
  <si>
    <t>Prepare video, documentation, source code, README</t>
  </si>
  <si>
    <t>All final project deliverables ready for Oct. 11 submission</t>
  </si>
  <si>
    <t>Project Schedule Notes</t>
  </si>
  <si>
    <t>Project</t>
  </si>
  <si>
    <t>Smart Waste Image Classification and Monitoring System</t>
  </si>
  <si>
    <t>Student</t>
  </si>
  <si>
    <t>Lester Van E. Rivera</t>
  </si>
  <si>
    <t>Work Mode</t>
  </si>
  <si>
    <t>Solo / Individual Project</t>
  </si>
  <si>
    <t>Proposal Deadline</t>
  </si>
  <si>
    <t>October 4, 2026</t>
  </si>
  <si>
    <t>Sprint 1 Individual Submission</t>
  </si>
  <si>
    <t>October 7, 2026</t>
  </si>
  <si>
    <t>Sprint 1 Group Deliverables</t>
  </si>
  <si>
    <t>Sprint 2 Individual Submission</t>
  </si>
  <si>
    <t>October 11, 2026</t>
  </si>
  <si>
    <t>Sprint 2 Group Deliverables</t>
  </si>
  <si>
    <t>Final Project Submission</t>
  </si>
  <si>
    <t>Presentation video, project documentation, source code folder with README</t>
  </si>
  <si>
    <t>Important Course Context</t>
  </si>
  <si>
    <t>Lab 4 is due Oct. 11 and Lab 5 is due Oct. 14; these are separate course lab deadlines and are not treated as project sprints.</t>
  </si>
  <si>
    <t>Scope</t>
  </si>
  <si>
    <t>Single-item six-class waste image classification</t>
  </si>
  <si>
    <t>Submission Map</t>
  </si>
  <si>
    <t>Deliverable</t>
  </si>
  <si>
    <t>Deadline</t>
  </si>
  <si>
    <t>What It Contains</t>
  </si>
  <si>
    <t>Schedule Coverage</t>
  </si>
  <si>
    <t>Proposal PDF + project schedule</t>
  </si>
  <si>
    <t>Sprint 1 planning</t>
  </si>
  <si>
    <t>Project Sprint 1 – Individual</t>
  </si>
  <si>
    <t>Individual contribution/evidence</t>
  </si>
  <si>
    <t>Proposal, schedule, code/data/evidence artifacts</t>
  </si>
  <si>
    <t>Project Sprint 2 – Individual</t>
  </si>
  <si>
    <t>Individual Sprint 2 contribution/evidence</t>
  </si>
  <si>
    <t>Sprint 2 group artifacts</t>
  </si>
  <si>
    <t>Project / Final Deliverables</t>
  </si>
  <si>
    <t>10–15 min video, documentation, source code + README</t>
  </si>
  <si>
    <t>Sprint 1 +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</si>
</sst>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"/>
    <numFmt numFmtId="166" formatCode="mm/dd/yy"/>
    <numFmt numFmtId="167" formatCode="mm/dd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 vertical="center" wrapText="1"/>
    </xf>
    <xf numFmtId="165" fontId="4" fillId="3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vertical="center" wrapText="1"/>
    </xf>
    <xf numFmtId="166" fontId="5" fillId="6" borderId="1" xfId="0" applyNumberFormat="1" applyFont="1" applyFill="1" applyBorder="1" applyAlignment="1">
      <alignment vertical="center" wrapText="1"/>
    </xf>
    <xf numFmtId="9" fontId="5" fillId="6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6" fillId="0" borderId="0" xfId="0" applyFont="1"/>
    <xf numFmtId="0" fontId="5" fillId="6" borderId="0" xfId="0" applyFont="1" applyFill="1"/>
    <xf numFmtId="0" fontId="0" fillId="0" borderId="0" xfId="0" applyAlignment="1">
      <alignment wrapText="1"/>
    </xf>
    <xf numFmtId="0" fontId="4" fillId="2" borderId="0" xfId="0" applyFont="1" applyFill="1"/>
    <xf numFmtId="167" fontId="0" fillId="0" borderId="0" xfId="0" applyNumberFormat="1"/>
    <xf numFmtId="0" fontId="7" fillId="0" borderId="0" xfId="0" applyFont="1"/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2" fillId="0" borderId="0" xfId="0" applyFont="1"/>
    <xf numFmtId="0" fontId="5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Planned Burndown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Burndown!$B$4</c:f>
              <c:strCache>
                <c:ptCount val="1"/>
                <c:pt idx="0">
                  <c:v>Planned Remaining Hours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Burndown!$A$5:$A$12</c:f>
              <c:numCache>
                <c:formatCode>mm/dd</c:formatCode>
                <c:ptCount val="8"/>
                <c:pt idx="0">
                  <c:v>46299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  <c:pt idx="5">
                  <c:v>46304</c:v>
                </c:pt>
                <c:pt idx="6">
                  <c:v>46305</c:v>
                </c:pt>
                <c:pt idx="7">
                  <c:v>46306</c:v>
                </c:pt>
              </c:numCache>
            </c:numRef>
          </c:cat>
          <c:val>
            <c:numRef>
              <c:f>Burndown!$B$5:$B$12</c:f>
              <c:numCache>
                <c:formatCode>General</c:formatCode>
                <c:ptCount val="8"/>
                <c:pt idx="0">
                  <c:v>130</c:v>
                </c:pt>
                <c:pt idx="1">
                  <c:v>112</c:v>
                </c:pt>
                <c:pt idx="2">
                  <c:v>94</c:v>
                </c:pt>
                <c:pt idx="3">
                  <c:v>76</c:v>
                </c:pt>
                <c:pt idx="4">
                  <c:v>57</c:v>
                </c:pt>
                <c:pt idx="5">
                  <c:v>38</c:v>
                </c:pt>
                <c:pt idx="6">
                  <c:v>19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9F-484E-90A2-3C6D3D0A0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mm/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Remaining 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showGridLines="0" tabSelected="1" zoomScaleNormal="100" workbookViewId="0">
      <pane xSplit="12" ySplit="5" topLeftCell="M23" activePane="bottomRight" state="frozen"/>
      <selection pane="topRight"/>
      <selection pane="bottomLeft"/>
      <selection pane="bottomRight" activeCell="B80" sqref="B80"/>
    </sheetView>
  </sheetViews>
  <sheetFormatPr defaultColWidth="0" defaultRowHeight="15" x14ac:dyDescent="0.25"/>
  <cols>
    <col min="1" max="1" width="17" customWidth="1"/>
    <col min="2" max="2" width="52" customWidth="1"/>
    <col min="3" max="3" width="18" customWidth="1"/>
    <col min="4" max="5" width="13" customWidth="1"/>
    <col min="6" max="6" width="14" customWidth="1"/>
    <col min="7" max="7" width="11" customWidth="1"/>
    <col min="8" max="10" width="12" customWidth="1"/>
    <col min="11" max="11" width="11" customWidth="1"/>
    <col min="12" max="12" width="14" customWidth="1"/>
    <col min="13" max="20" width="3.85546875" customWidth="1"/>
    <col min="21" max="16384" width="9.140625" hidden="1"/>
  </cols>
  <sheetData>
    <row r="1" spans="1:20" ht="2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x14ac:dyDescent="0.25">
      <c r="A2" s="23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x14ac:dyDescent="0.25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5" spans="1:20" ht="33.950000000000003" customHeigh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3">
        <v>46299</v>
      </c>
      <c r="N5" s="3">
        <v>46300</v>
      </c>
      <c r="O5" s="3">
        <v>46301</v>
      </c>
      <c r="P5" s="3">
        <v>46302</v>
      </c>
      <c r="Q5" s="3">
        <v>46303</v>
      </c>
      <c r="R5" s="3">
        <v>46304</v>
      </c>
      <c r="S5" s="3">
        <v>46305</v>
      </c>
      <c r="T5" s="3">
        <v>46306</v>
      </c>
    </row>
    <row r="6" spans="1:20" x14ac:dyDescent="0.25">
      <c r="A6" s="4" t="s">
        <v>15</v>
      </c>
      <c r="B6" s="4" t="s">
        <v>16</v>
      </c>
      <c r="C6" s="4" t="s">
        <v>17</v>
      </c>
      <c r="D6" s="4">
        <v>12</v>
      </c>
      <c r="E6" s="4">
        <v>6</v>
      </c>
      <c r="F6" s="4">
        <f t="shared" ref="F6:F24" si="0">MAX(D6-E6,0)</f>
        <v>6</v>
      </c>
      <c r="G6" s="4" t="s">
        <v>18</v>
      </c>
      <c r="H6" s="5">
        <v>46299</v>
      </c>
      <c r="I6" s="5">
        <v>46302</v>
      </c>
      <c r="J6" s="4">
        <v>4</v>
      </c>
      <c r="K6" s="6">
        <f t="shared" ref="K6:K24" si="1">IF(D6=0,0,E6/D6)</f>
        <v>0.5</v>
      </c>
      <c r="L6" s="4" t="str">
        <f t="shared" ref="L6:L24" si="2">IF(K6&gt;=1,"Complete",IF(E6&gt;0,"In Progress","Not Started"))</f>
        <v>In Progress</v>
      </c>
      <c r="M6" s="7" t="s">
        <v>19</v>
      </c>
      <c r="N6" s="7" t="s">
        <v>19</v>
      </c>
      <c r="O6" s="7" t="s">
        <v>19</v>
      </c>
      <c r="P6" s="7" t="s">
        <v>19</v>
      </c>
      <c r="Q6" s="8"/>
      <c r="R6" s="8"/>
      <c r="S6" s="8"/>
      <c r="T6" s="8"/>
    </row>
    <row r="7" spans="1:20" x14ac:dyDescent="0.25">
      <c r="A7" s="8" t="s">
        <v>20</v>
      </c>
      <c r="B7" s="8" t="s">
        <v>21</v>
      </c>
      <c r="C7" s="8" t="s">
        <v>17</v>
      </c>
      <c r="D7" s="8">
        <v>6</v>
      </c>
      <c r="E7" s="8">
        <v>6</v>
      </c>
      <c r="F7" s="8">
        <f t="shared" si="0"/>
        <v>0</v>
      </c>
      <c r="G7" s="8" t="s">
        <v>18</v>
      </c>
      <c r="H7" s="9">
        <v>46299</v>
      </c>
      <c r="I7" s="9">
        <v>46302</v>
      </c>
      <c r="J7" s="8">
        <v>4</v>
      </c>
      <c r="K7" s="10">
        <f t="shared" si="1"/>
        <v>1</v>
      </c>
      <c r="L7" s="8" t="str">
        <f t="shared" si="2"/>
        <v>Complete</v>
      </c>
      <c r="M7" s="7" t="s">
        <v>19</v>
      </c>
      <c r="N7" s="7" t="s">
        <v>19</v>
      </c>
      <c r="O7" s="7" t="s">
        <v>19</v>
      </c>
      <c r="P7" s="7" t="s">
        <v>19</v>
      </c>
      <c r="Q7" s="8"/>
      <c r="R7" s="8"/>
      <c r="S7" s="8"/>
      <c r="T7" s="8"/>
    </row>
    <row r="8" spans="1:20" x14ac:dyDescent="0.25">
      <c r="A8" s="8" t="s">
        <v>22</v>
      </c>
      <c r="B8" s="8" t="s">
        <v>23</v>
      </c>
      <c r="C8" s="8" t="s">
        <v>17</v>
      </c>
      <c r="D8" s="8">
        <v>2</v>
      </c>
      <c r="E8" s="8">
        <v>0</v>
      </c>
      <c r="F8" s="8">
        <f t="shared" si="0"/>
        <v>2</v>
      </c>
      <c r="G8" s="8" t="s">
        <v>18</v>
      </c>
      <c r="H8" s="9">
        <v>46299</v>
      </c>
      <c r="I8" s="9">
        <v>46302</v>
      </c>
      <c r="J8" s="8">
        <v>4</v>
      </c>
      <c r="K8" s="10">
        <f t="shared" si="1"/>
        <v>0</v>
      </c>
      <c r="L8" s="8" t="str">
        <f t="shared" si="2"/>
        <v>Not Started</v>
      </c>
      <c r="M8" s="7" t="s">
        <v>19</v>
      </c>
      <c r="N8" s="7" t="s">
        <v>19</v>
      </c>
      <c r="O8" s="7" t="s">
        <v>19</v>
      </c>
      <c r="P8" s="7" t="s">
        <v>19</v>
      </c>
      <c r="Q8" s="8"/>
      <c r="R8" s="8"/>
      <c r="S8" s="8"/>
      <c r="T8" s="8"/>
    </row>
    <row r="9" spans="1:20" x14ac:dyDescent="0.25">
      <c r="A9" s="8" t="s">
        <v>24</v>
      </c>
      <c r="B9" s="8" t="s">
        <v>25</v>
      </c>
      <c r="C9" s="8" t="s">
        <v>17</v>
      </c>
      <c r="D9" s="8">
        <v>2</v>
      </c>
      <c r="E9" s="8">
        <v>0</v>
      </c>
      <c r="F9" s="8">
        <f t="shared" si="0"/>
        <v>2</v>
      </c>
      <c r="G9" s="8" t="s">
        <v>18</v>
      </c>
      <c r="H9" s="9">
        <v>46299</v>
      </c>
      <c r="I9" s="9">
        <v>46302</v>
      </c>
      <c r="J9" s="8">
        <v>4</v>
      </c>
      <c r="K9" s="10">
        <f t="shared" si="1"/>
        <v>0</v>
      </c>
      <c r="L9" s="8" t="str">
        <f t="shared" si="2"/>
        <v>Not Started</v>
      </c>
      <c r="M9" s="7" t="s">
        <v>19</v>
      </c>
      <c r="N9" s="7" t="s">
        <v>19</v>
      </c>
      <c r="O9" s="7" t="s">
        <v>19</v>
      </c>
      <c r="P9" s="7" t="s">
        <v>19</v>
      </c>
      <c r="Q9" s="8"/>
      <c r="R9" s="8"/>
      <c r="S9" s="8"/>
      <c r="T9" s="8"/>
    </row>
    <row r="10" spans="1:20" x14ac:dyDescent="0.25">
      <c r="A10" s="8" t="s">
        <v>26</v>
      </c>
      <c r="B10" s="8" t="s">
        <v>27</v>
      </c>
      <c r="C10" s="8" t="s">
        <v>17</v>
      </c>
      <c r="D10" s="8">
        <v>2</v>
      </c>
      <c r="E10" s="8">
        <v>0</v>
      </c>
      <c r="F10" s="8">
        <f t="shared" si="0"/>
        <v>2</v>
      </c>
      <c r="G10" s="8" t="s">
        <v>18</v>
      </c>
      <c r="H10" s="9">
        <v>46299</v>
      </c>
      <c r="I10" s="9">
        <v>46302</v>
      </c>
      <c r="J10" s="8">
        <v>4</v>
      </c>
      <c r="K10" s="10">
        <f t="shared" si="1"/>
        <v>0</v>
      </c>
      <c r="L10" s="8" t="str">
        <f t="shared" si="2"/>
        <v>Not Started</v>
      </c>
      <c r="M10" s="7" t="s">
        <v>19</v>
      </c>
      <c r="N10" s="7" t="s">
        <v>19</v>
      </c>
      <c r="O10" s="7" t="s">
        <v>19</v>
      </c>
      <c r="P10" s="7" t="s">
        <v>19</v>
      </c>
      <c r="Q10" s="8"/>
      <c r="R10" s="8"/>
      <c r="S10" s="8"/>
      <c r="T10" s="8"/>
    </row>
    <row r="11" spans="1:20" x14ac:dyDescent="0.25">
      <c r="A11" s="4" t="s">
        <v>28</v>
      </c>
      <c r="B11" s="4" t="s">
        <v>29</v>
      </c>
      <c r="C11" s="4" t="s">
        <v>17</v>
      </c>
      <c r="D11" s="4">
        <v>24</v>
      </c>
      <c r="E11" s="4">
        <v>0</v>
      </c>
      <c r="F11" s="4">
        <f t="shared" si="0"/>
        <v>24</v>
      </c>
      <c r="G11" s="4" t="s">
        <v>18</v>
      </c>
      <c r="H11" s="5">
        <v>46299</v>
      </c>
      <c r="I11" s="5">
        <v>46302</v>
      </c>
      <c r="J11" s="4">
        <v>4</v>
      </c>
      <c r="K11" s="6">
        <f t="shared" si="1"/>
        <v>0</v>
      </c>
      <c r="L11" s="4" t="str">
        <f t="shared" si="2"/>
        <v>Not Started</v>
      </c>
      <c r="M11" s="7" t="s">
        <v>19</v>
      </c>
      <c r="N11" s="7" t="s">
        <v>19</v>
      </c>
      <c r="O11" s="7" t="s">
        <v>19</v>
      </c>
      <c r="P11" s="7" t="s">
        <v>19</v>
      </c>
      <c r="Q11" s="8"/>
      <c r="R11" s="8"/>
      <c r="S11" s="8"/>
      <c r="T11" s="8"/>
    </row>
    <row r="12" spans="1:20" x14ac:dyDescent="0.25">
      <c r="A12" s="8" t="s">
        <v>30</v>
      </c>
      <c r="B12" s="8" t="s">
        <v>31</v>
      </c>
      <c r="C12" s="8" t="s">
        <v>17</v>
      </c>
      <c r="D12" s="8">
        <v>4</v>
      </c>
      <c r="E12" s="8">
        <v>0</v>
      </c>
      <c r="F12" s="8">
        <f t="shared" si="0"/>
        <v>4</v>
      </c>
      <c r="G12" s="8" t="s">
        <v>18</v>
      </c>
      <c r="H12" s="9">
        <v>46299</v>
      </c>
      <c r="I12" s="9">
        <v>46302</v>
      </c>
      <c r="J12" s="8">
        <v>4</v>
      </c>
      <c r="K12" s="10">
        <f t="shared" si="1"/>
        <v>0</v>
      </c>
      <c r="L12" s="8" t="str">
        <f t="shared" si="2"/>
        <v>Not Started</v>
      </c>
      <c r="M12" s="7" t="s">
        <v>19</v>
      </c>
      <c r="N12" s="7" t="s">
        <v>19</v>
      </c>
      <c r="O12" s="7" t="s">
        <v>19</v>
      </c>
      <c r="P12" s="7" t="s">
        <v>19</v>
      </c>
      <c r="Q12" s="8"/>
      <c r="R12" s="8"/>
      <c r="S12" s="8"/>
      <c r="T12" s="8"/>
    </row>
    <row r="13" spans="1:20" x14ac:dyDescent="0.25">
      <c r="A13" s="8" t="s">
        <v>32</v>
      </c>
      <c r="B13" s="8" t="s">
        <v>33</v>
      </c>
      <c r="C13" s="8" t="s">
        <v>17</v>
      </c>
      <c r="D13" s="8">
        <v>5</v>
      </c>
      <c r="E13" s="8">
        <v>0</v>
      </c>
      <c r="F13" s="8">
        <f t="shared" si="0"/>
        <v>5</v>
      </c>
      <c r="G13" s="8" t="s">
        <v>18</v>
      </c>
      <c r="H13" s="9">
        <v>46299</v>
      </c>
      <c r="I13" s="9">
        <v>46302</v>
      </c>
      <c r="J13" s="8">
        <v>4</v>
      </c>
      <c r="K13" s="10">
        <f t="shared" si="1"/>
        <v>0</v>
      </c>
      <c r="L13" s="8" t="str">
        <f t="shared" si="2"/>
        <v>Not Started</v>
      </c>
      <c r="M13" s="7" t="s">
        <v>19</v>
      </c>
      <c r="N13" s="7" t="s">
        <v>19</v>
      </c>
      <c r="O13" s="7" t="s">
        <v>19</v>
      </c>
      <c r="P13" s="7" t="s">
        <v>19</v>
      </c>
      <c r="Q13" s="8"/>
      <c r="R13" s="8"/>
      <c r="S13" s="8"/>
      <c r="T13" s="8"/>
    </row>
    <row r="14" spans="1:20" x14ac:dyDescent="0.25">
      <c r="A14" s="8" t="s">
        <v>34</v>
      </c>
      <c r="B14" s="8" t="s">
        <v>35</v>
      </c>
      <c r="C14" s="8" t="s">
        <v>17</v>
      </c>
      <c r="D14" s="8">
        <v>6</v>
      </c>
      <c r="E14" s="8">
        <v>0</v>
      </c>
      <c r="F14" s="8">
        <f t="shared" si="0"/>
        <v>6</v>
      </c>
      <c r="G14" s="8" t="s">
        <v>18</v>
      </c>
      <c r="H14" s="9">
        <v>46299</v>
      </c>
      <c r="I14" s="9">
        <v>46302</v>
      </c>
      <c r="J14" s="8">
        <v>4</v>
      </c>
      <c r="K14" s="10">
        <f t="shared" si="1"/>
        <v>0</v>
      </c>
      <c r="L14" s="8" t="str">
        <f t="shared" si="2"/>
        <v>Not Started</v>
      </c>
      <c r="M14" s="7" t="s">
        <v>19</v>
      </c>
      <c r="N14" s="7" t="s">
        <v>19</v>
      </c>
      <c r="O14" s="7" t="s">
        <v>19</v>
      </c>
      <c r="P14" s="7" t="s">
        <v>19</v>
      </c>
      <c r="Q14" s="8"/>
      <c r="R14" s="8"/>
      <c r="S14" s="8"/>
      <c r="T14" s="8"/>
    </row>
    <row r="15" spans="1:20" x14ac:dyDescent="0.25">
      <c r="A15" s="8" t="s">
        <v>36</v>
      </c>
      <c r="B15" s="8" t="s">
        <v>37</v>
      </c>
      <c r="C15" s="8" t="s">
        <v>17</v>
      </c>
      <c r="D15" s="8">
        <v>6</v>
      </c>
      <c r="E15" s="8">
        <v>0</v>
      </c>
      <c r="F15" s="8">
        <f t="shared" si="0"/>
        <v>6</v>
      </c>
      <c r="G15" s="8" t="s">
        <v>18</v>
      </c>
      <c r="H15" s="9">
        <v>46299</v>
      </c>
      <c r="I15" s="9">
        <v>46302</v>
      </c>
      <c r="J15" s="8">
        <v>4</v>
      </c>
      <c r="K15" s="10">
        <f t="shared" si="1"/>
        <v>0</v>
      </c>
      <c r="L15" s="8" t="str">
        <f t="shared" si="2"/>
        <v>Not Started</v>
      </c>
      <c r="M15" s="7" t="s">
        <v>19</v>
      </c>
      <c r="N15" s="7" t="s">
        <v>19</v>
      </c>
      <c r="O15" s="7" t="s">
        <v>19</v>
      </c>
      <c r="P15" s="7" t="s">
        <v>19</v>
      </c>
      <c r="Q15" s="8"/>
      <c r="R15" s="8"/>
      <c r="S15" s="8"/>
      <c r="T15" s="8"/>
    </row>
    <row r="16" spans="1:20" x14ac:dyDescent="0.25">
      <c r="A16" s="8" t="s">
        <v>38</v>
      </c>
      <c r="B16" s="8" t="s">
        <v>39</v>
      </c>
      <c r="C16" s="8" t="s">
        <v>17</v>
      </c>
      <c r="D16" s="8">
        <v>3</v>
      </c>
      <c r="E16" s="8">
        <v>0</v>
      </c>
      <c r="F16" s="8">
        <f t="shared" si="0"/>
        <v>3</v>
      </c>
      <c r="G16" s="8" t="s">
        <v>18</v>
      </c>
      <c r="H16" s="9">
        <v>46299</v>
      </c>
      <c r="I16" s="9">
        <v>46302</v>
      </c>
      <c r="J16" s="8">
        <v>4</v>
      </c>
      <c r="K16" s="10">
        <f t="shared" si="1"/>
        <v>0</v>
      </c>
      <c r="L16" s="8" t="str">
        <f t="shared" si="2"/>
        <v>Not Started</v>
      </c>
      <c r="M16" s="7" t="s">
        <v>19</v>
      </c>
      <c r="N16" s="7" t="s">
        <v>19</v>
      </c>
      <c r="O16" s="7" t="s">
        <v>19</v>
      </c>
      <c r="P16" s="7" t="s">
        <v>19</v>
      </c>
      <c r="Q16" s="8"/>
      <c r="R16" s="8"/>
      <c r="S16" s="8"/>
      <c r="T16" s="8"/>
    </row>
    <row r="17" spans="1:20" x14ac:dyDescent="0.25">
      <c r="A17" s="4" t="s">
        <v>40</v>
      </c>
      <c r="B17" s="4" t="s">
        <v>41</v>
      </c>
      <c r="C17" s="4" t="s">
        <v>17</v>
      </c>
      <c r="D17" s="4">
        <v>38</v>
      </c>
      <c r="E17" s="4">
        <v>0</v>
      </c>
      <c r="F17" s="4">
        <f t="shared" si="0"/>
        <v>38</v>
      </c>
      <c r="G17" s="4" t="s">
        <v>42</v>
      </c>
      <c r="H17" s="5">
        <v>46303</v>
      </c>
      <c r="I17" s="5">
        <v>46306</v>
      </c>
      <c r="J17" s="4">
        <v>4</v>
      </c>
      <c r="K17" s="6">
        <f t="shared" si="1"/>
        <v>0</v>
      </c>
      <c r="L17" s="4" t="str">
        <f t="shared" si="2"/>
        <v>Not Started</v>
      </c>
      <c r="M17" s="8"/>
      <c r="N17" s="8"/>
      <c r="O17" s="8"/>
      <c r="P17" s="8"/>
      <c r="Q17" s="11" t="s">
        <v>19</v>
      </c>
      <c r="R17" s="11" t="s">
        <v>19</v>
      </c>
      <c r="S17" s="11" t="s">
        <v>19</v>
      </c>
      <c r="T17" s="11" t="s">
        <v>19</v>
      </c>
    </row>
    <row r="18" spans="1:20" x14ac:dyDescent="0.25">
      <c r="A18" s="8" t="s">
        <v>43</v>
      </c>
      <c r="B18" s="8" t="s">
        <v>44</v>
      </c>
      <c r="C18" s="8" t="s">
        <v>17</v>
      </c>
      <c r="D18" s="8">
        <v>6</v>
      </c>
      <c r="E18" s="8">
        <v>0</v>
      </c>
      <c r="F18" s="8">
        <f t="shared" si="0"/>
        <v>6</v>
      </c>
      <c r="G18" s="8" t="s">
        <v>42</v>
      </c>
      <c r="H18" s="9">
        <v>46303</v>
      </c>
      <c r="I18" s="9">
        <v>46306</v>
      </c>
      <c r="J18" s="8">
        <v>4</v>
      </c>
      <c r="K18" s="10">
        <f t="shared" si="1"/>
        <v>0</v>
      </c>
      <c r="L18" s="8" t="str">
        <f t="shared" si="2"/>
        <v>Not Started</v>
      </c>
      <c r="M18" s="8"/>
      <c r="N18" s="8"/>
      <c r="O18" s="8"/>
      <c r="P18" s="8"/>
      <c r="Q18" s="11" t="s">
        <v>19</v>
      </c>
      <c r="R18" s="11" t="s">
        <v>19</v>
      </c>
      <c r="S18" s="11" t="s">
        <v>19</v>
      </c>
      <c r="T18" s="11" t="s">
        <v>19</v>
      </c>
    </row>
    <row r="19" spans="1:20" x14ac:dyDescent="0.25">
      <c r="A19" s="8" t="s">
        <v>45</v>
      </c>
      <c r="B19" s="8" t="s">
        <v>46</v>
      </c>
      <c r="C19" s="8" t="s">
        <v>17</v>
      </c>
      <c r="D19" s="8">
        <v>7</v>
      </c>
      <c r="E19" s="8">
        <v>0</v>
      </c>
      <c r="F19" s="8">
        <f t="shared" si="0"/>
        <v>7</v>
      </c>
      <c r="G19" s="8" t="s">
        <v>42</v>
      </c>
      <c r="H19" s="9">
        <v>46303</v>
      </c>
      <c r="I19" s="9">
        <v>46306</v>
      </c>
      <c r="J19" s="8">
        <v>4</v>
      </c>
      <c r="K19" s="10">
        <f t="shared" si="1"/>
        <v>0</v>
      </c>
      <c r="L19" s="8" t="str">
        <f t="shared" si="2"/>
        <v>Not Started</v>
      </c>
      <c r="M19" s="8"/>
      <c r="N19" s="8"/>
      <c r="O19" s="8"/>
      <c r="P19" s="8"/>
      <c r="Q19" s="11" t="s">
        <v>19</v>
      </c>
      <c r="R19" s="11" t="s">
        <v>19</v>
      </c>
      <c r="S19" s="11" t="s">
        <v>19</v>
      </c>
      <c r="T19" s="11" t="s">
        <v>19</v>
      </c>
    </row>
    <row r="20" spans="1:20" x14ac:dyDescent="0.25">
      <c r="A20" s="8" t="s">
        <v>47</v>
      </c>
      <c r="B20" s="8" t="s">
        <v>48</v>
      </c>
      <c r="C20" s="8" t="s">
        <v>17</v>
      </c>
      <c r="D20" s="8">
        <v>7</v>
      </c>
      <c r="E20" s="8">
        <v>0</v>
      </c>
      <c r="F20" s="8">
        <f t="shared" si="0"/>
        <v>7</v>
      </c>
      <c r="G20" s="8" t="s">
        <v>42</v>
      </c>
      <c r="H20" s="9">
        <v>46303</v>
      </c>
      <c r="I20" s="9">
        <v>46306</v>
      </c>
      <c r="J20" s="8">
        <v>4</v>
      </c>
      <c r="K20" s="10">
        <f t="shared" si="1"/>
        <v>0</v>
      </c>
      <c r="L20" s="8" t="str">
        <f t="shared" si="2"/>
        <v>Not Started</v>
      </c>
      <c r="M20" s="8"/>
      <c r="N20" s="8"/>
      <c r="O20" s="8"/>
      <c r="P20" s="8"/>
      <c r="Q20" s="11" t="s">
        <v>19</v>
      </c>
      <c r="R20" s="11" t="s">
        <v>19</v>
      </c>
      <c r="S20" s="11" t="s">
        <v>19</v>
      </c>
      <c r="T20" s="11" t="s">
        <v>19</v>
      </c>
    </row>
    <row r="21" spans="1:20" x14ac:dyDescent="0.25">
      <c r="A21" s="8" t="s">
        <v>49</v>
      </c>
      <c r="B21" s="8" t="s">
        <v>50</v>
      </c>
      <c r="C21" s="8" t="s">
        <v>17</v>
      </c>
      <c r="D21" s="8">
        <v>5</v>
      </c>
      <c r="E21" s="8">
        <v>0</v>
      </c>
      <c r="F21" s="8">
        <f t="shared" si="0"/>
        <v>5</v>
      </c>
      <c r="G21" s="8" t="s">
        <v>42</v>
      </c>
      <c r="H21" s="9">
        <v>46303</v>
      </c>
      <c r="I21" s="9">
        <v>46306</v>
      </c>
      <c r="J21" s="8">
        <v>4</v>
      </c>
      <c r="K21" s="10">
        <f t="shared" si="1"/>
        <v>0</v>
      </c>
      <c r="L21" s="8" t="str">
        <f t="shared" si="2"/>
        <v>Not Started</v>
      </c>
      <c r="M21" s="8"/>
      <c r="N21" s="8"/>
      <c r="O21" s="8"/>
      <c r="P21" s="8"/>
      <c r="Q21" s="11" t="s">
        <v>19</v>
      </c>
      <c r="R21" s="11" t="s">
        <v>19</v>
      </c>
      <c r="S21" s="11" t="s">
        <v>19</v>
      </c>
      <c r="T21" s="11" t="s">
        <v>19</v>
      </c>
    </row>
    <row r="22" spans="1:20" x14ac:dyDescent="0.25">
      <c r="A22" s="8" t="s">
        <v>51</v>
      </c>
      <c r="B22" s="8" t="s">
        <v>52</v>
      </c>
      <c r="C22" s="8" t="s">
        <v>17</v>
      </c>
      <c r="D22" s="8">
        <v>4</v>
      </c>
      <c r="E22" s="8">
        <v>0</v>
      </c>
      <c r="F22" s="8">
        <f t="shared" si="0"/>
        <v>4</v>
      </c>
      <c r="G22" s="8" t="s">
        <v>42</v>
      </c>
      <c r="H22" s="9">
        <v>46303</v>
      </c>
      <c r="I22" s="9">
        <v>46306</v>
      </c>
      <c r="J22" s="8">
        <v>4</v>
      </c>
      <c r="K22" s="10">
        <f t="shared" si="1"/>
        <v>0</v>
      </c>
      <c r="L22" s="8" t="str">
        <f t="shared" si="2"/>
        <v>Not Started</v>
      </c>
      <c r="M22" s="8"/>
      <c r="N22" s="8"/>
      <c r="O22" s="8"/>
      <c r="P22" s="8"/>
      <c r="Q22" s="11" t="s">
        <v>19</v>
      </c>
      <c r="R22" s="11" t="s">
        <v>19</v>
      </c>
      <c r="S22" s="11" t="s">
        <v>19</v>
      </c>
      <c r="T22" s="11" t="s">
        <v>19</v>
      </c>
    </row>
    <row r="23" spans="1:20" x14ac:dyDescent="0.25">
      <c r="A23" s="8" t="s">
        <v>53</v>
      </c>
      <c r="B23" s="8" t="s">
        <v>54</v>
      </c>
      <c r="C23" s="8" t="s">
        <v>17</v>
      </c>
      <c r="D23" s="8">
        <v>5</v>
      </c>
      <c r="E23" s="8">
        <v>0</v>
      </c>
      <c r="F23" s="8">
        <f t="shared" si="0"/>
        <v>5</v>
      </c>
      <c r="G23" s="8" t="s">
        <v>42</v>
      </c>
      <c r="H23" s="9">
        <v>46303</v>
      </c>
      <c r="I23" s="9">
        <v>46306</v>
      </c>
      <c r="J23" s="8">
        <v>4</v>
      </c>
      <c r="K23" s="10">
        <f t="shared" si="1"/>
        <v>0</v>
      </c>
      <c r="L23" s="8" t="str">
        <f t="shared" si="2"/>
        <v>Not Started</v>
      </c>
      <c r="M23" s="8"/>
      <c r="N23" s="8"/>
      <c r="O23" s="8"/>
      <c r="P23" s="8"/>
      <c r="Q23" s="11" t="s">
        <v>19</v>
      </c>
      <c r="R23" s="11" t="s">
        <v>19</v>
      </c>
      <c r="S23" s="11" t="s">
        <v>19</v>
      </c>
      <c r="T23" s="11" t="s">
        <v>19</v>
      </c>
    </row>
    <row r="24" spans="1:20" ht="30" x14ac:dyDescent="0.25">
      <c r="A24" s="8" t="s">
        <v>55</v>
      </c>
      <c r="B24" s="8" t="s">
        <v>56</v>
      </c>
      <c r="C24" s="8" t="s">
        <v>17</v>
      </c>
      <c r="D24" s="8">
        <v>4</v>
      </c>
      <c r="E24" s="8">
        <v>0</v>
      </c>
      <c r="F24" s="8">
        <f t="shared" si="0"/>
        <v>4</v>
      </c>
      <c r="G24" s="8" t="s">
        <v>42</v>
      </c>
      <c r="H24" s="9">
        <v>46303</v>
      </c>
      <c r="I24" s="9">
        <v>46306</v>
      </c>
      <c r="J24" s="8">
        <v>4</v>
      </c>
      <c r="K24" s="10">
        <f t="shared" si="1"/>
        <v>0</v>
      </c>
      <c r="L24" s="8" t="str">
        <f t="shared" si="2"/>
        <v>Not Started</v>
      </c>
      <c r="M24" s="8"/>
      <c r="N24" s="8"/>
      <c r="O24" s="8"/>
      <c r="P24" s="8"/>
      <c r="Q24" s="11" t="s">
        <v>19</v>
      </c>
      <c r="R24" s="11" t="s">
        <v>19</v>
      </c>
      <c r="S24" s="11" t="s">
        <v>19</v>
      </c>
      <c r="T24" s="11" t="s">
        <v>19</v>
      </c>
    </row>
    <row r="27" spans="1:20" ht="15.75" x14ac:dyDescent="0.25">
      <c r="A27" s="12" t="s">
        <v>57</v>
      </c>
    </row>
    <row r="28" spans="1:20" ht="30" x14ac:dyDescent="0.25">
      <c r="A28" s="13" t="s">
        <v>58</v>
      </c>
      <c r="B28" t="s">
        <v>59</v>
      </c>
      <c r="C28" s="14" t="s">
        <v>60</v>
      </c>
    </row>
    <row r="29" spans="1:20" ht="45" x14ac:dyDescent="0.25">
      <c r="A29" s="24" t="s">
        <v>61</v>
      </c>
      <c r="B29" t="s">
        <v>62</v>
      </c>
      <c r="C29" s="14" t="s">
        <v>63</v>
      </c>
    </row>
    <row r="30" spans="1:20" ht="75" x14ac:dyDescent="0.25">
      <c r="A30" s="24" t="s">
        <v>64</v>
      </c>
      <c r="B30" t="s">
        <v>62</v>
      </c>
      <c r="C30" s="14" t="s">
        <v>65</v>
      </c>
    </row>
    <row r="31" spans="1:20" ht="45" x14ac:dyDescent="0.25">
      <c r="A31" s="24" t="s">
        <v>66</v>
      </c>
      <c r="B31" t="s">
        <v>67</v>
      </c>
      <c r="C31" s="14" t="s">
        <v>68</v>
      </c>
    </row>
    <row r="32" spans="1:20" ht="45" x14ac:dyDescent="0.25">
      <c r="A32" s="24" t="s">
        <v>69</v>
      </c>
      <c r="B32" t="s">
        <v>67</v>
      </c>
      <c r="C32" s="14" t="s">
        <v>70</v>
      </c>
    </row>
    <row r="33" spans="1:3" ht="75" x14ac:dyDescent="0.25">
      <c r="A33" s="24" t="s">
        <v>71</v>
      </c>
      <c r="B33" t="s">
        <v>67</v>
      </c>
      <c r="C33" s="14" t="s">
        <v>72</v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defaultRowHeight="15" x14ac:dyDescent="0.25"/>
  <cols>
    <col min="1" max="1" width="14" customWidth="1"/>
    <col min="2" max="3" width="24" customWidth="1"/>
    <col min="4" max="4" width="34" customWidth="1"/>
  </cols>
  <sheetData>
    <row r="1" spans="1:4" ht="21" x14ac:dyDescent="0.35">
      <c r="A1" s="1" t="s">
        <v>73</v>
      </c>
    </row>
    <row r="2" spans="1:4" x14ac:dyDescent="0.25">
      <c r="A2" t="s">
        <v>74</v>
      </c>
    </row>
    <row r="4" spans="1:4" x14ac:dyDescent="0.25">
      <c r="A4" s="15" t="s">
        <v>75</v>
      </c>
      <c r="B4" s="15" t="s">
        <v>76</v>
      </c>
      <c r="C4" s="15" t="s">
        <v>77</v>
      </c>
      <c r="D4" s="15" t="s">
        <v>78</v>
      </c>
    </row>
    <row r="5" spans="1:4" x14ac:dyDescent="0.25">
      <c r="A5" s="16">
        <v>46299</v>
      </c>
      <c r="B5">
        <v>130</v>
      </c>
      <c r="D5" t="s">
        <v>79</v>
      </c>
    </row>
    <row r="6" spans="1:4" x14ac:dyDescent="0.25">
      <c r="A6" s="16">
        <v>46300</v>
      </c>
      <c r="B6">
        <v>112</v>
      </c>
    </row>
    <row r="7" spans="1:4" x14ac:dyDescent="0.25">
      <c r="A7" s="16">
        <v>46301</v>
      </c>
      <c r="B7">
        <v>94</v>
      </c>
    </row>
    <row r="8" spans="1:4" x14ac:dyDescent="0.25">
      <c r="A8" s="16">
        <v>46302</v>
      </c>
      <c r="B8">
        <v>76</v>
      </c>
      <c r="D8" t="s">
        <v>80</v>
      </c>
    </row>
    <row r="9" spans="1:4" x14ac:dyDescent="0.25">
      <c r="A9" s="16">
        <v>46303</v>
      </c>
      <c r="B9">
        <v>57</v>
      </c>
    </row>
    <row r="10" spans="1:4" x14ac:dyDescent="0.25">
      <c r="A10" s="16">
        <v>46304</v>
      </c>
      <c r="B10">
        <v>38</v>
      </c>
    </row>
    <row r="11" spans="1:4" x14ac:dyDescent="0.25">
      <c r="A11" s="16">
        <v>46305</v>
      </c>
      <c r="B11">
        <v>19</v>
      </c>
    </row>
    <row r="12" spans="1:4" x14ac:dyDescent="0.25">
      <c r="A12" s="16">
        <v>46306</v>
      </c>
      <c r="B12">
        <v>0</v>
      </c>
      <c r="D12" t="s">
        <v>81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/>
  </sheetViews>
  <sheetFormatPr defaultRowHeight="15" x14ac:dyDescent="0.25"/>
  <cols>
    <col min="1" max="2" width="12" customWidth="1"/>
    <col min="3" max="3" width="18" customWidth="1"/>
    <col min="4" max="4" width="38" customWidth="1"/>
    <col min="5" max="5" width="60" customWidth="1"/>
    <col min="6" max="6" width="16" customWidth="1"/>
  </cols>
  <sheetData>
    <row r="1" spans="1:6" ht="18.75" x14ac:dyDescent="0.3">
      <c r="A1" s="17" t="s">
        <v>82</v>
      </c>
    </row>
    <row r="3" spans="1:6" x14ac:dyDescent="0.25">
      <c r="A3" s="18" t="s">
        <v>83</v>
      </c>
      <c r="B3" s="18" t="s">
        <v>9</v>
      </c>
      <c r="C3" s="18" t="s">
        <v>84</v>
      </c>
      <c r="D3" s="18" t="s">
        <v>85</v>
      </c>
      <c r="E3" s="18" t="s">
        <v>86</v>
      </c>
      <c r="F3" s="18" t="s">
        <v>14</v>
      </c>
    </row>
    <row r="4" spans="1:6" x14ac:dyDescent="0.25">
      <c r="A4" s="19" t="s">
        <v>87</v>
      </c>
      <c r="B4" s="19" t="s">
        <v>18</v>
      </c>
      <c r="C4" s="19" t="s">
        <v>88</v>
      </c>
      <c r="D4" s="19" t="s">
        <v>89</v>
      </c>
      <c r="E4" s="19" t="s">
        <v>90</v>
      </c>
      <c r="F4" s="19" t="s">
        <v>91</v>
      </c>
    </row>
    <row r="5" spans="1:6" x14ac:dyDescent="0.25">
      <c r="A5" s="19" t="s">
        <v>87</v>
      </c>
      <c r="B5" s="19" t="s">
        <v>18</v>
      </c>
      <c r="C5" s="19" t="s">
        <v>92</v>
      </c>
      <c r="D5" s="19" t="s">
        <v>93</v>
      </c>
      <c r="E5" s="19" t="s">
        <v>94</v>
      </c>
      <c r="F5" s="19" t="s">
        <v>91</v>
      </c>
    </row>
    <row r="6" spans="1:6" ht="30" x14ac:dyDescent="0.25">
      <c r="A6" s="19" t="s">
        <v>87</v>
      </c>
      <c r="B6" s="19" t="s">
        <v>18</v>
      </c>
      <c r="C6" s="19" t="s">
        <v>95</v>
      </c>
      <c r="D6" s="19" t="s">
        <v>96</v>
      </c>
      <c r="E6" s="19" t="s">
        <v>97</v>
      </c>
      <c r="F6" s="19" t="s">
        <v>91</v>
      </c>
    </row>
    <row r="7" spans="1:6" x14ac:dyDescent="0.25">
      <c r="A7" s="19" t="s">
        <v>87</v>
      </c>
      <c r="B7" s="19" t="s">
        <v>42</v>
      </c>
      <c r="C7" s="19" t="s">
        <v>98</v>
      </c>
      <c r="D7" s="19" t="s">
        <v>99</v>
      </c>
      <c r="E7" s="19" t="s">
        <v>100</v>
      </c>
      <c r="F7" s="19" t="s">
        <v>91</v>
      </c>
    </row>
    <row r="8" spans="1:6" x14ac:dyDescent="0.25">
      <c r="A8" s="19" t="s">
        <v>87</v>
      </c>
      <c r="B8" s="19" t="s">
        <v>42</v>
      </c>
      <c r="C8" s="19" t="s">
        <v>101</v>
      </c>
      <c r="D8" s="19" t="s">
        <v>102</v>
      </c>
      <c r="E8" s="19" t="s">
        <v>103</v>
      </c>
      <c r="F8" s="19" t="s">
        <v>91</v>
      </c>
    </row>
    <row r="9" spans="1:6" x14ac:dyDescent="0.25">
      <c r="A9" s="19" t="s">
        <v>87</v>
      </c>
      <c r="B9" s="19" t="s">
        <v>42</v>
      </c>
      <c r="C9" s="19" t="s">
        <v>104</v>
      </c>
      <c r="D9" s="19" t="s">
        <v>105</v>
      </c>
      <c r="E9" s="19" t="s">
        <v>106</v>
      </c>
      <c r="F9" s="19" t="s">
        <v>91</v>
      </c>
    </row>
    <row r="10" spans="1:6" x14ac:dyDescent="0.25">
      <c r="A10" s="19" t="s">
        <v>87</v>
      </c>
      <c r="B10" s="19" t="s">
        <v>42</v>
      </c>
      <c r="C10" s="19" t="s">
        <v>107</v>
      </c>
      <c r="D10" s="19" t="s">
        <v>108</v>
      </c>
      <c r="E10" s="19" t="s">
        <v>109</v>
      </c>
      <c r="F10" s="19" t="s">
        <v>91</v>
      </c>
    </row>
    <row r="11" spans="1:6" ht="30" x14ac:dyDescent="0.25">
      <c r="A11" s="19" t="s">
        <v>87</v>
      </c>
      <c r="B11" s="19" t="s">
        <v>42</v>
      </c>
      <c r="C11" s="19" t="s">
        <v>110</v>
      </c>
      <c r="D11" s="19" t="s">
        <v>111</v>
      </c>
      <c r="E11" s="19" t="s">
        <v>112</v>
      </c>
      <c r="F11" s="19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showGridLines="0" workbookViewId="0"/>
  </sheetViews>
  <sheetFormatPr defaultRowHeight="15" x14ac:dyDescent="0.25"/>
  <cols>
    <col min="1" max="1" width="34" customWidth="1"/>
    <col min="2" max="2" width="95" customWidth="1"/>
  </cols>
  <sheetData>
    <row r="1" spans="1:2" ht="18.75" x14ac:dyDescent="0.3">
      <c r="A1" s="17" t="s">
        <v>113</v>
      </c>
    </row>
    <row r="3" spans="1:2" x14ac:dyDescent="0.25">
      <c r="A3" s="13" t="s">
        <v>114</v>
      </c>
      <c r="B3" s="14" t="s">
        <v>115</v>
      </c>
    </row>
    <row r="4" spans="1:2" x14ac:dyDescent="0.25">
      <c r="A4" s="13" t="s">
        <v>116</v>
      </c>
      <c r="B4" s="14" t="s">
        <v>117</v>
      </c>
    </row>
    <row r="5" spans="1:2" x14ac:dyDescent="0.25">
      <c r="A5" s="13" t="s">
        <v>118</v>
      </c>
      <c r="B5" s="14" t="s">
        <v>119</v>
      </c>
    </row>
    <row r="6" spans="1:2" x14ac:dyDescent="0.25">
      <c r="A6" s="13" t="s">
        <v>120</v>
      </c>
      <c r="B6" s="14" t="s">
        <v>121</v>
      </c>
    </row>
    <row r="7" spans="1:2" x14ac:dyDescent="0.25">
      <c r="A7" s="13" t="s">
        <v>122</v>
      </c>
      <c r="B7" s="14" t="s">
        <v>123</v>
      </c>
    </row>
    <row r="8" spans="1:2" x14ac:dyDescent="0.25">
      <c r="A8" s="13" t="s">
        <v>124</v>
      </c>
      <c r="B8" s="14" t="s">
        <v>123</v>
      </c>
    </row>
    <row r="9" spans="1:2" x14ac:dyDescent="0.25">
      <c r="A9" s="13" t="s">
        <v>125</v>
      </c>
      <c r="B9" s="14" t="s">
        <v>126</v>
      </c>
    </row>
    <row r="10" spans="1:2" x14ac:dyDescent="0.25">
      <c r="A10" s="13" t="s">
        <v>127</v>
      </c>
      <c r="B10" s="14" t="s">
        <v>126</v>
      </c>
    </row>
    <row r="11" spans="1:2" x14ac:dyDescent="0.25">
      <c r="A11" s="13" t="s">
        <v>128</v>
      </c>
      <c r="B11" s="14" t="s">
        <v>126</v>
      </c>
    </row>
    <row r="12" spans="1:2" x14ac:dyDescent="0.25">
      <c r="A12" s="13" t="s">
        <v>110</v>
      </c>
      <c r="B12" s="14" t="s">
        <v>129</v>
      </c>
    </row>
    <row r="13" spans="1:2" ht="30" x14ac:dyDescent="0.25">
      <c r="A13" s="13" t="s">
        <v>130</v>
      </c>
      <c r="B13" s="14" t="s">
        <v>131</v>
      </c>
    </row>
    <row r="14" spans="1:2" x14ac:dyDescent="0.25">
      <c r="A14" s="13" t="s">
        <v>132</v>
      </c>
      <c r="B14" s="14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/>
  </sheetViews>
  <sheetFormatPr defaultRowHeight="15" x14ac:dyDescent="0.25"/>
  <cols>
    <col min="1" max="1" width="34" customWidth="1"/>
    <col min="2" max="2" width="16" customWidth="1"/>
    <col min="3" max="3" width="65" customWidth="1"/>
    <col min="4" max="4" width="28" customWidth="1"/>
  </cols>
  <sheetData>
    <row r="1" spans="1:4" ht="18.75" x14ac:dyDescent="0.3">
      <c r="A1" s="17" t="s">
        <v>134</v>
      </c>
    </row>
    <row r="3" spans="1:4" x14ac:dyDescent="0.25">
      <c r="A3" s="18" t="s">
        <v>135</v>
      </c>
      <c r="B3" s="18" t="s">
        <v>136</v>
      </c>
      <c r="C3" s="18" t="s">
        <v>137</v>
      </c>
      <c r="D3" s="18" t="s">
        <v>138</v>
      </c>
    </row>
    <row r="4" spans="1:4" x14ac:dyDescent="0.25">
      <c r="A4" s="19" t="s">
        <v>58</v>
      </c>
      <c r="B4" s="19" t="s">
        <v>59</v>
      </c>
      <c r="C4" s="19" t="s">
        <v>139</v>
      </c>
      <c r="D4" s="19" t="s">
        <v>140</v>
      </c>
    </row>
    <row r="5" spans="1:4" x14ac:dyDescent="0.25">
      <c r="A5" s="19" t="s">
        <v>141</v>
      </c>
      <c r="B5" s="19" t="s">
        <v>62</v>
      </c>
      <c r="C5" s="19" t="s">
        <v>142</v>
      </c>
      <c r="D5" s="19" t="s">
        <v>18</v>
      </c>
    </row>
    <row r="6" spans="1:4" ht="30" x14ac:dyDescent="0.25">
      <c r="A6" s="19" t="s">
        <v>64</v>
      </c>
      <c r="B6" s="19" t="s">
        <v>62</v>
      </c>
      <c r="C6" s="19" t="s">
        <v>143</v>
      </c>
      <c r="D6" s="19" t="s">
        <v>18</v>
      </c>
    </row>
    <row r="7" spans="1:4" x14ac:dyDescent="0.25">
      <c r="A7" s="19" t="s">
        <v>144</v>
      </c>
      <c r="B7" s="19" t="s">
        <v>67</v>
      </c>
      <c r="C7" s="19" t="s">
        <v>145</v>
      </c>
      <c r="D7" s="19" t="s">
        <v>42</v>
      </c>
    </row>
    <row r="8" spans="1:4" ht="30" x14ac:dyDescent="0.25">
      <c r="A8" s="19" t="s">
        <v>69</v>
      </c>
      <c r="B8" s="19" t="s">
        <v>67</v>
      </c>
      <c r="C8" s="19" t="s">
        <v>146</v>
      </c>
      <c r="D8" s="19" t="s">
        <v>42</v>
      </c>
    </row>
    <row r="9" spans="1:4" x14ac:dyDescent="0.25">
      <c r="A9" s="19" t="s">
        <v>147</v>
      </c>
      <c r="B9" s="19" t="s">
        <v>67</v>
      </c>
      <c r="C9" s="19" t="s">
        <v>148</v>
      </c>
      <c r="D9" s="19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Gantt Chart &amp; Burndown</vt:lpstr>
      <vt:lpstr>Burndown</vt:lpstr>
      <vt:lpstr>Release Backlog</vt:lpstr>
      <vt:lpstr>Project Notes</vt:lpstr>
      <vt:lpstr>Submission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LVan</cp:lastModifiedBy>
  <dcterms:created xsi:type="dcterms:W3CDTF">2026-10-04T14:46:18Z</dcterms:created>
  <dcterms:modified xsi:type="dcterms:W3CDTF">2026-10-04T14:52:30Z</dcterms:modified>
</cp:coreProperties>
</file>